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3038FE6-399F-4954-AAC6-78E7477156A6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est Cases" sheetId="1" r:id="rId1"/>
    <sheet name="Summary" sheetId="2" r:id="rId2"/>
    <sheet name="Sprint Schedul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2" l="1"/>
  <c r="C14" i="2"/>
  <c r="B14" i="2"/>
  <c r="E14" i="2" s="1"/>
  <c r="D13" i="2"/>
  <c r="D15" i="2" s="1"/>
  <c r="C13" i="2"/>
  <c r="C15" i="2" s="1"/>
  <c r="B13" i="2"/>
  <c r="B15" i="2" s="1"/>
  <c r="E15" i="2" s="1"/>
  <c r="D8" i="2"/>
  <c r="C8" i="2"/>
  <c r="B8" i="2"/>
  <c r="E8" i="2" s="1"/>
  <c r="D7" i="2"/>
  <c r="C7" i="2"/>
  <c r="B7" i="2"/>
  <c r="E7" i="2" s="1"/>
  <c r="D6" i="2"/>
  <c r="C6" i="2"/>
  <c r="B6" i="2"/>
  <c r="E6" i="2" s="1"/>
  <c r="D5" i="2"/>
  <c r="D9" i="2" s="1"/>
  <c r="C5" i="2"/>
  <c r="C9" i="2" s="1"/>
  <c r="B5" i="2"/>
  <c r="E5" i="2" s="1"/>
  <c r="E13" i="2" l="1"/>
  <c r="B9" i="2"/>
  <c r="E9" i="2" s="1"/>
</calcChain>
</file>

<file path=xl/sharedStrings.xml><?xml version="1.0" encoding="utf-8"?>
<sst xmlns="http://schemas.openxmlformats.org/spreadsheetml/2006/main" count="468" uniqueCount="312">
  <si>
    <t>Test Case ID</t>
  </si>
  <si>
    <t>Test Level</t>
  </si>
  <si>
    <t>Related Requirement</t>
  </si>
  <si>
    <t>User Story (Sprint)</t>
  </si>
  <si>
    <t>Scenario Type</t>
  </si>
  <si>
    <t>Test Objective</t>
  </si>
  <si>
    <t>Preconditions</t>
  </si>
  <si>
    <t>Test Input</t>
  </si>
  <si>
    <t>Test Steps</t>
  </si>
  <si>
    <t>Expected Output</t>
  </si>
  <si>
    <t>Actual Output</t>
  </si>
  <si>
    <t>Status</t>
  </si>
  <si>
    <t>Tester</t>
  </si>
  <si>
    <t>Date Tested</t>
  </si>
  <si>
    <t>TC-U-01</t>
  </si>
  <si>
    <t>Unit</t>
  </si>
  <si>
    <t>FR-01</t>
  </si>
  <si>
    <t>US-09 (Sprint 1)</t>
  </si>
  <si>
    <t>Positive</t>
  </si>
  <si>
    <t>Verify Secure Login authenticates a registered user with valid credentials</t>
  </si>
  <si>
    <t>A registered Student account exists and is active</t>
  </si>
  <si>
    <t>Username: student01; Password: correct password</t>
  </si>
  <si>
    <t>1) Enter valid username and password on the login screen. 2) Click Login.</t>
  </si>
  <si>
    <t>User is authenticated and redirected to the Student dashboard</t>
  </si>
  <si>
    <t>User authenticated; Student dashboard loaded in 1.0 second</t>
  </si>
  <si>
    <t>Pass</t>
  </si>
  <si>
    <t>2026-08-22</t>
  </si>
  <si>
    <t>TC-U-02</t>
  </si>
  <si>
    <t>Negative</t>
  </si>
  <si>
    <t>Verify Secure Login rejects an incorrect password</t>
  </si>
  <si>
    <t>A registered Student account exists</t>
  </si>
  <si>
    <t>Username: student01; Password: wrong password</t>
  </si>
  <si>
    <t>1) Enter valid username with an incorrect password. 2) Click Login.</t>
  </si>
  <si>
    <t>Login is rejected; message 'Invalid username or password' is shown; no session is created</t>
  </si>
  <si>
    <t>Login rejected; correct message shown; no session created</t>
  </si>
  <si>
    <t>TC-U-03</t>
  </si>
  <si>
    <t>FR-03</t>
  </si>
  <si>
    <t>US-03 (Sprint 1)</t>
  </si>
  <si>
    <t>Verify View Room Details displays correct availability for a valid room number</t>
  </si>
  <si>
    <t>Room B-204 exists in the system with 1 of 2 beds occupied</t>
  </si>
  <si>
    <t>Room number: B-204</t>
  </si>
  <si>
    <t>1) Enter/select room number B-204. 2) Click View Details.</t>
  </si>
  <si>
    <t>Room details are displayed, showing capacity 2, occupied 1, available 1</t>
  </si>
  <si>
    <t>Details displayed correctly: capacity 2, occupied 1, available 1</t>
  </si>
  <si>
    <t>2026-08-24</t>
  </si>
  <si>
    <t>TC-U-04</t>
  </si>
  <si>
    <t>Verify View Room Details handles a non-existent room number gracefully</t>
  </si>
  <si>
    <t>No room numbered Z-999 exists</t>
  </si>
  <si>
    <t>Room number: Z-999</t>
  </si>
  <si>
    <t>1) Enter room number Z-999. 2) Click View Details.</t>
  </si>
  <si>
    <t>System shows 'Room not found' with no application error</t>
  </si>
  <si>
    <t>Message shown as expected; no crash</t>
  </si>
  <si>
    <t>TC-U-05</t>
  </si>
  <si>
    <t>FR-05</t>
  </si>
  <si>
    <t>US-07 (Sprint 2)</t>
  </si>
  <si>
    <t>Verify Pay Fees calculates the correct total for selected fee items</t>
  </si>
  <si>
    <t>Fee schedule loaded: Hostel fee $300; Mess fee $120</t>
  </si>
  <si>
    <t>Line items: Hostel fee $300, Mess fee $120</t>
  </si>
  <si>
    <t>1) Select both fee items. 2) Trigger total calculation.</t>
  </si>
  <si>
    <t>Total displayed = $420.00</t>
  </si>
  <si>
    <t>2026-09-09</t>
  </si>
  <si>
    <t>TC-U-06</t>
  </si>
  <si>
    <t>Verify Pay Fees rejects a negative payment amount</t>
  </si>
  <si>
    <t>Pay Fees screen open for an active student account</t>
  </si>
  <si>
    <t>Payment amount entered: -$50</t>
  </si>
  <si>
    <t>1) Enter -50 as the payment amount. 2) Attempt to submit payment.</t>
  </si>
  <si>
    <t>Submission is blocked; validation message 'Amount must be positive' is shown</t>
  </si>
  <si>
    <t>Payment was accepted; a -$50 transaction was recorded in the ledger</t>
  </si>
  <si>
    <t>Fail</t>
  </si>
  <si>
    <t>TC-U-07</t>
  </si>
  <si>
    <t>FR-08</t>
  </si>
  <si>
    <t>US-04 (Sprint 1)</t>
  </si>
  <si>
    <t>Verify the Absence Alert function triggers correctly when a student is marked Absent</t>
  </si>
  <si>
    <t>Warden is marking attendance for room B-204</t>
  </si>
  <si>
    <t>Attendance status: Absent, Student: R. Karki</t>
  </si>
  <si>
    <t>1) Set attendance status to Absent for the student. 2) Save attendance.</t>
  </si>
  <si>
    <t>An Absence Alert is generated and queued for the Warden</t>
  </si>
  <si>
    <t>Absence Alert generated and queued correctly</t>
  </si>
  <si>
    <t>2026-08-26</t>
  </si>
  <si>
    <t>TC-U-08</t>
  </si>
  <si>
    <t>Verify the Absence Alert function does not trigger when a student is marked Present</t>
  </si>
  <si>
    <t>Attendance status: Present, Student: R. Karki</t>
  </si>
  <si>
    <t>1) Set attendance status to Present for the student. 2) Save attendance.</t>
  </si>
  <si>
    <t>No Absence Alert is generated</t>
  </si>
  <si>
    <t>No alert generated, as expected</t>
  </si>
  <si>
    <t>TC-I-01</t>
  </si>
  <si>
    <t>Integration</t>
  </si>
  <si>
    <t>FR-02, FR-06</t>
  </si>
  <si>
    <t>US-01, US-02 (Sprint 1)</t>
  </si>
  <si>
    <t>Verify an approved room application becomes available for the Warden to allocate</t>
  </si>
  <si>
    <t>Student has submitted a room application; Warden module is online</t>
  </si>
  <si>
    <t>Application status changed to 'Approved' for Student S. Gurung</t>
  </si>
  <si>
    <t>1) Approve the room application. 2) Open Allocate Room screen as Warden.</t>
  </si>
  <si>
    <t>The approved student appears in the Warden's pending-allocation list</t>
  </si>
  <si>
    <t>Student appeared correctly in the pending-allocation list</t>
  </si>
  <si>
    <t>TC-I-02</t>
  </si>
  <si>
    <t>FR-07, FR-08</t>
  </si>
  <si>
    <t>Verify marking a student absent triggers an Absence Alert notification to the Warden</t>
  </si>
  <si>
    <t>Warden is logged in; notification service is running</t>
  </si>
  <si>
    <t>Student marked Absent during morning attendance</t>
  </si>
  <si>
    <t>1) Warden marks the student Absent. 2) Check Warden's notification panel.</t>
  </si>
  <si>
    <t>Warden receives an Absence Alert notification within 1 minute</t>
  </si>
  <si>
    <t>Notification received in 20 seconds</t>
  </si>
  <si>
    <t>2026-08-27</t>
  </si>
  <si>
    <t>TC-I-03</t>
  </si>
  <si>
    <t>FR-04, FR-09</t>
  </si>
  <si>
    <t>US-05, US-06 (Sprint 2)</t>
  </si>
  <si>
    <t>Verify a submitted complaint appears in the Warden's Track Complaint Status queue</t>
  </si>
  <si>
    <t>Student is logged in; Warden module is online</t>
  </si>
  <si>
    <t>Complaint: 'Leaking tap in room B-204', category: Maintenance</t>
  </si>
  <si>
    <t>1) Student submits the complaint. 2) Warden opens Track Complaint Status.</t>
  </si>
  <si>
    <t>The new complaint appears in the Warden's queue with status 'Open'</t>
  </si>
  <si>
    <t>Complaint appeared in queue with status 'Open'</t>
  </si>
  <si>
    <t>2026-09-07</t>
  </si>
  <si>
    <t>TC-I-04</t>
  </si>
  <si>
    <t>FR-05, FR-10</t>
  </si>
  <si>
    <t>US-07, US-08 (Sprint 2)</t>
  </si>
  <si>
    <t>Verify a completed fee payment triggers a Parent fee notification</t>
  </si>
  <si>
    <t>Student has a Parent contact linked; notification service is running</t>
  </si>
  <si>
    <t>Fee payment of $420 completed for Student S. Gurung</t>
  </si>
  <si>
    <t>1) Student completes the fee payment. 2) Check Parent's notification inbox.</t>
  </si>
  <si>
    <t>Parent receives a fee-payment confirmation notification within 1 minute</t>
  </si>
  <si>
    <t>Notification received in 42 seconds</t>
  </si>
  <si>
    <t>2026-09-10</t>
  </si>
  <si>
    <t>TC-I-05</t>
  </si>
  <si>
    <t>FR-11, FR-12</t>
  </si>
  <si>
    <t>US-10 (Sprint 2)</t>
  </si>
  <si>
    <t>Verify Generate Reports correctly pulls compiled data from Compile Report Data</t>
  </si>
  <si>
    <t>One week of attendance, fee, and complaint records exist</t>
  </si>
  <si>
    <t>Admin requests a weekly occupancy and attendance report</t>
  </si>
  <si>
    <t>1) Admin triggers Generate Reports. 2) System runs Compile Report Data. 3) Report is produced.</t>
  </si>
  <si>
    <t>Report reflects the exact totals compiled from the underlying records</t>
  </si>
  <si>
    <t>Report totals matched the compiled underlying data exactly</t>
  </si>
  <si>
    <t>2026-09-13</t>
  </si>
  <si>
    <t>TC-I-06</t>
  </si>
  <si>
    <t>Verify room allocation is blocked when no approved application exists for the student</t>
  </si>
  <si>
    <t>Student has not submitted or has not had a room application approved</t>
  </si>
  <si>
    <t>Warden attempts to allocate a room directly to the unapproved student</t>
  </si>
  <si>
    <t>1) Warden opens Allocate Room. 2) Attempts to allocate a room to the student without an approved application.</t>
  </si>
  <si>
    <t>Allocation is blocked with the message 'No approved application found for this student'</t>
  </si>
  <si>
    <t>Allocation proceeded without blocking; room was assigned despite no approved application</t>
  </si>
  <si>
    <t>TC-S-01</t>
  </si>
  <si>
    <t>System</t>
  </si>
  <si>
    <t>FR-01,FR-02,FR-06</t>
  </si>
  <si>
    <t>US-01, US-02, US-09 (Sprint 1)</t>
  </si>
  <si>
    <t>Verify the full end-to-end room application-to-allocation flow completes without error</t>
  </si>
  <si>
    <t>System is online; test Student and Warden accounts exist</t>
  </si>
  <si>
    <t>New student applies for a room through allocation</t>
  </si>
  <si>
    <t>1) Student logs in and applies for a room. 2) Warden reviews and approves the application. 3) Warden allocates the room. 4) Student views confirmed room details.</t>
  </si>
  <si>
    <t>All steps complete successfully with consistent data across modules</t>
  </si>
  <si>
    <t>All steps completed successfully; data consistent across modules</t>
  </si>
  <si>
    <t>QA Team</t>
  </si>
  <si>
    <t>2026-08-25</t>
  </si>
  <si>
    <t>TC-S-02</t>
  </si>
  <si>
    <t>FR-06</t>
  </si>
  <si>
    <t>US-02 (Sprint 1)</t>
  </si>
  <si>
    <t>Verify the system prevents allocation of the same room to two students simultaneously</t>
  </si>
  <si>
    <t>Room A-105 has its last available bed open</t>
  </si>
  <si>
    <t>Two Wardens attempt to allocate the same bed within seconds of each other</t>
  </si>
  <si>
    <t>1) Warden A begins allocating the bed to Student X. 2) Warden B attempts to allocate the same bed to Student Y before Warden A confirms.</t>
  </si>
  <si>
    <t>Only one allocation succeeds; the second is rejected with a conflict message</t>
  </si>
  <si>
    <t>Only Warden A's allocation succeeded; Warden B received a conflict message</t>
  </si>
  <si>
    <t>TC-S-03</t>
  </si>
  <si>
    <t>NFR-Performance</t>
  </si>
  <si>
    <t>Verify Room Details search meets an acceptable response-time target under normal load</t>
  </si>
  <si>
    <t>System under normal load (approx. 25 concurrent users)</t>
  </si>
  <si>
    <t>15 sample room-detail searches across different room numbers</t>
  </si>
  <si>
    <t>1) Run 15 sample searches. 2) Record response times.</t>
  </si>
  <si>
    <t>All 15 searches return results in under 3 seconds</t>
  </si>
  <si>
    <t>Average response time 1.6 seconds; max 2.4 seconds</t>
  </si>
  <si>
    <t>TC-S-04</t>
  </si>
  <si>
    <t>NFR-Security</t>
  </si>
  <si>
    <t>Verify the system locks an account after 3 consecutive failed login attempts, for any actor role</t>
  </si>
  <si>
    <t>Valid Warden account exists; user is logged out</t>
  </si>
  <si>
    <t>3 incorrect password attempts in a row</t>
  </si>
  <si>
    <t>1) Enter an incorrect password 3 times for the Warden account.</t>
  </si>
  <si>
    <t>Account is locked; user is shown a lockout message and must reset credentials</t>
  </si>
  <si>
    <t>Account locked after the 3rd attempt as expected</t>
  </si>
  <si>
    <t>2026-08-23</t>
  </si>
  <si>
    <t>TC-S-05</t>
  </si>
  <si>
    <t>FR-11</t>
  </si>
  <si>
    <t>Verify the generated occupancy/attendance/fee report matches underlying transactions</t>
  </si>
  <si>
    <t>One full week of test transactions exists in the system</t>
  </si>
  <si>
    <t>Generate the weekly summary report</t>
  </si>
  <si>
    <t>1) Admin runs the weekly report. 2) Manually total the underlying attendance, fee, and complaint records.</t>
  </si>
  <si>
    <t>Report totals match the manually computed totals exactly</t>
  </si>
  <si>
    <t>Report totals matched manual totals exactly</t>
  </si>
  <si>
    <t>2026-09-14</t>
  </si>
  <si>
    <t>TC-S-06</t>
  </si>
  <si>
    <t>Verify Absence Alerts are correctly generated and logged for multiple students in one attendance session</t>
  </si>
  <si>
    <t>A room block of 10 students is being marked for morning attendance</t>
  </si>
  <si>
    <t>3 of 10 students marked Absent in the same session</t>
  </si>
  <si>
    <t>1) Warden marks attendance for all 10 students, with 3 set to Absent. 2) Save attendance. 3) Check the Absence Alert log.</t>
  </si>
  <si>
    <t>Exactly 3 Absence Alerts are generated and logged, one per absent student</t>
  </si>
  <si>
    <t>3 alerts generated and logged correctly, matching the absent students</t>
  </si>
  <si>
    <t>2026-08-28</t>
  </si>
  <si>
    <t>TC-S-07</t>
  </si>
  <si>
    <t>FR-09</t>
  </si>
  <si>
    <t>US-06 (Sprint 2)</t>
  </si>
  <si>
    <t>Verify the system blocks a status change on an already-resolved complaint without a reopen confirmation</t>
  </si>
  <si>
    <t>Complaint 'Leaking tap in room B-204' already has status 'Resolved'</t>
  </si>
  <si>
    <t>Warden attempts to change status of a Resolved complaint back to 'Open'</t>
  </si>
  <si>
    <t>1) Warden opens the resolved complaint. 2) Attempts to change its status back to 'Open' without using a reopen action.</t>
  </si>
  <si>
    <t>System requires an explicit 'Reopen Complaint' confirmation before allowing the status change</t>
  </si>
  <si>
    <t>Status was changed directly to 'Open' with no confirmation prompt shown</t>
  </si>
  <si>
    <t>Fail (Minor)</t>
  </si>
  <si>
    <t>2026-09-08</t>
  </si>
  <si>
    <t>TC-A-01</t>
  </si>
  <si>
    <t>UAT</t>
  </si>
  <si>
    <t>FR-02</t>
  </si>
  <si>
    <t>US-01 (Sprint 1)</t>
  </si>
  <si>
    <t>Confirm a student can apply for a room without staff assistance</t>
  </si>
  <si>
    <t>Student volunteer is logged in; no prior training beyond a 5-minute overview</t>
  </si>
  <si>
    <t>Volunteer student's real room preference details (with consent)</t>
  </si>
  <si>
    <t>1) Student independently completes the room-application form using only on-screen guidance.</t>
  </si>
  <si>
    <t>Application is submitted correctly within 3 minutes, unassisted</t>
  </si>
  <si>
    <t>Completed in 2 minutes 15 seconds, unassisted</t>
  </si>
  <si>
    <t>TC-A-02</t>
  </si>
  <si>
    <t>FR-04</t>
  </si>
  <si>
    <t>US-05 (Sprint 2)</t>
  </si>
  <si>
    <t>Confirm a student can submit a complaint and receive submission confirmation</t>
  </si>
  <si>
    <t>Student is logged in</t>
  </si>
  <si>
    <t>Complaint: 'Broken window latch in room A-102'</t>
  </si>
  <si>
    <t>1) Student fills in the complaint form and submits it.</t>
  </si>
  <si>
    <t>Complaint is submitted; on-screen confirmation with a reference number is shown</t>
  </si>
  <si>
    <t>Complaint submitted; confirmation with reference number CMP-0142 shown</t>
  </si>
  <si>
    <t>TC-A-03</t>
  </si>
  <si>
    <t>Confirm a warden can allocate a room to an approved student</t>
  </si>
  <si>
    <t>An approved, unallocated room application exists</t>
  </si>
  <si>
    <t>Warden allocates Room B-204, Bed 2 to the approved student</t>
  </si>
  <si>
    <t>1) Warden opens Allocate Room. 2) Selects the approved student and an available bed. 3) Confirms allocation.</t>
  </si>
  <si>
    <t>Room is allocated; student's dashboard updates to show the assigned room</t>
  </si>
  <si>
    <t>Room allocated correctly; student dashboard updated immediately</t>
  </si>
  <si>
    <t>TC-A-04</t>
  </si>
  <si>
    <t>FR-07</t>
  </si>
  <si>
    <t>Confirm a warden can mark attendance for a full room block without assistance</t>
  </si>
  <si>
    <t>A block of 10 students is due for morning attendance</t>
  </si>
  <si>
    <t>Warden marks attendance for all 10 students in Room Block B</t>
  </si>
  <si>
    <t>1) Warden opens Mark Attendance for Room Block B. 2) Marks each student Present/Absent. 3) Saves attendance.</t>
  </si>
  <si>
    <t>All 10 records save correctly within 2 minutes, unassisted</t>
  </si>
  <si>
    <t>All 10 records saved correctly in 1 minute 40 seconds, unassisted</t>
  </si>
  <si>
    <t>2026-08-29</t>
  </si>
  <si>
    <t>TC-A-05</t>
  </si>
  <si>
    <t>FR-10</t>
  </si>
  <si>
    <t>US-08 (Sprint 2)</t>
  </si>
  <si>
    <t>Confirm a parent can understand a fee-payment notification received on their phone</t>
  </si>
  <si>
    <t>Parent has a linked account and a valid phone/notification channel</t>
  </si>
  <si>
    <t>Fee payment of $420 completed for the parent's child</t>
  </si>
  <si>
    <t>1) Trigger the fee-payment notification. 2) Parent reviews the notification received.</t>
  </si>
  <si>
    <t>Notification clearly states the amount paid, the date, and the remaining balance if any</t>
  </si>
  <si>
    <t>Notification showed the amount paid and date, but did not state the remaining balance, causing the parent to ask a follow-up question</t>
  </si>
  <si>
    <t>Parent (Volunteer)</t>
  </si>
  <si>
    <t>2026-09-11</t>
  </si>
  <si>
    <t>TC-A-06</t>
  </si>
  <si>
    <t>Confirm an administrator can generate and export a hostel occupancy report</t>
  </si>
  <si>
    <t>One week of occupancy data exists</t>
  </si>
  <si>
    <t>Administrator requests the weekly occupancy report</t>
  </si>
  <si>
    <t>1) Administrator navigates to Reports. 2) Selects 'Occupancy Report'. 3) Exports to PDF/Excel.</t>
  </si>
  <si>
    <t>Report generates and exports successfully with correct totals</t>
  </si>
  <si>
    <t>Report generated and exported correctly</t>
  </si>
  <si>
    <t>Admin (Volunteer)</t>
  </si>
  <si>
    <t>2026-09-15</t>
  </si>
  <si>
    <t>TC-A-07</t>
  </si>
  <si>
    <t>Confirm a student attempting to access the Admin 'Generate Reports' screen is correctly denied</t>
  </si>
  <si>
    <t>Student is logged in with standard student permissions</t>
  </si>
  <si>
    <t>Student attempts to navigate directly to the Generate Reports screen</t>
  </si>
  <si>
    <t>1) Student navigates to the reports menu item (should not be visible/accessible to Students).</t>
  </si>
  <si>
    <t>Menu item is hidden or access is denied with a clear message</t>
  </si>
  <si>
    <t>Menu item was hidden; student could not access the screen</t>
  </si>
  <si>
    <t>Hostel Management System (HMS) — Testing Summary (aligned to Sprint 1 &amp; 2 schedule)</t>
  </si>
  <si>
    <t>By Test Level</t>
  </si>
  <si>
    <t>Total</t>
  </si>
  <si>
    <t>Pass Rate</t>
  </si>
  <si>
    <t>By Scenario Type</t>
  </si>
  <si>
    <t>Legend: 'Pass' = Actual Output matched Expected Output exactly. 'Fail' / 'Fail (Minor)' = Actual Output diverged from Expected Output (see Test Cases sheet for details).</t>
  </si>
  <si>
    <t>Requirement key: FR-01 Secure Login (US-09) | FR-02 Apply for Room (US-01) | FR-03 View Room Details (US-03) | FR-04 Submit Complaint (US-05) | FR-05 Pay Fees (US-07) | FR-06 Allocate Room (US-02) | FR-07 Mark Attendance (US-04) | FR-08 Absence Alert, extends Mark Attendance (US-04) | FR-09 Track Complaint Status (US-06) | FR-10 Receive Fee Notifications (US-08) | FR-11 Generate Reports (US-10) | FR-12 Compile Report Data, included by Generate Reports (US-10).</t>
  </si>
  <si>
    <t>Sprint schedule: Sprint 1 = Aug 17-30, 2026 (US-01, US-02, US-03, US-04, US-09). Sprint 2 = Aug 31-Sept 13, 2026 (US-05, US-06, US-07, US-08, US-10). Every Date Tested value below falls on or after the related card's Due Date.</t>
  </si>
  <si>
    <t>Sprint 1: Aug 17 - Aug 30, 2026</t>
  </si>
  <si>
    <t>Card</t>
  </si>
  <si>
    <t>Start Date</t>
  </si>
  <si>
    <t>Due Date</t>
  </si>
  <si>
    <t>US-01: Apply for Hostel Room</t>
  </si>
  <si>
    <t>Aug 17</t>
  </si>
  <si>
    <t>Aug 21</t>
  </si>
  <si>
    <t>US-02: Allocate Rooms to Students</t>
  </si>
  <si>
    <t>Aug 18</t>
  </si>
  <si>
    <t>Aug 23</t>
  </si>
  <si>
    <t>US-03: View Room and Roommate Details</t>
  </si>
  <si>
    <t>Aug 19</t>
  </si>
  <si>
    <t>Aug 24</t>
  </si>
  <si>
    <t>US-04: Mark Daily Hostel Attendance</t>
  </si>
  <si>
    <t>Aug 20</t>
  </si>
  <si>
    <t>Aug 26</t>
  </si>
  <si>
    <t>US-09: Secure Role-Based Login</t>
  </si>
  <si>
    <t>Aug 22</t>
  </si>
  <si>
    <t>Sprint 2: Aug 31 - Sept 13, 2026</t>
  </si>
  <si>
    <t>US-05: Submit Maintenance Complaints</t>
  </si>
  <si>
    <t>Aug 31</t>
  </si>
  <si>
    <t>Sept 4</t>
  </si>
  <si>
    <t>US-06: Track and Update Complaint Status</t>
  </si>
  <si>
    <t>Sept 1</t>
  </si>
  <si>
    <t>Sept 6</t>
  </si>
  <si>
    <t>US-07: Pay Hostel Fees Online</t>
  </si>
  <si>
    <t>Sept 9</t>
  </si>
  <si>
    <t>US-08: Parent Notifications on Attendance/Fees</t>
  </si>
  <si>
    <t>Sept 3</t>
  </si>
  <si>
    <t>Sept 8</t>
  </si>
  <si>
    <t>US-10: Generate Occupancy and Revenue Reports</t>
  </si>
  <si>
    <t>Sept 12</t>
  </si>
  <si>
    <t>Niraj Gautam</t>
  </si>
  <si>
    <t>Shiva Bhattarai</t>
  </si>
  <si>
    <t>Ronak 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</si>
</sst>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0" borderId="0" xfId="0" applyFont="1" applyBorder="1" applyAlignment="1">
      <alignment wrapText="1"/>
    </xf>
    <xf numFmtId="0" fontId="3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F1" zoomScaleNormal="100" workbookViewId="0">
      <pane ySplit="1" topLeftCell="A3" activePane="bottomLeft" state="frozen"/>
      <selection pane="bottomLeft" activeCell="I6" activeCellId="1" sqref="H4 I6"/>
    </sheetView>
  </sheetViews>
  <sheetFormatPr defaultColWidth="8.6328125" defaultRowHeight="14.5" x14ac:dyDescent="0.35"/>
  <cols>
    <col min="1" max="2" width="11" customWidth="1"/>
    <col min="3" max="3" width="15" customWidth="1"/>
    <col min="4" max="4" width="16" customWidth="1"/>
    <col min="5" max="5" width="11" customWidth="1"/>
    <col min="6" max="6" width="29" customWidth="1"/>
    <col min="7" max="7" width="25" customWidth="1"/>
    <col min="8" max="8" width="27" customWidth="1"/>
    <col min="9" max="11" width="32" customWidth="1"/>
    <col min="12" max="12" width="12" customWidth="1"/>
    <col min="13" max="13" width="17" customWidth="1"/>
    <col min="14" max="14" width="12" customWidth="1"/>
  </cols>
  <sheetData>
    <row r="1" spans="1:14" ht="27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3" x14ac:dyDescent="0.3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309</v>
      </c>
      <c r="N2" s="4" t="s">
        <v>26</v>
      </c>
    </row>
    <row r="3" spans="1:14" ht="34.5" x14ac:dyDescent="0.35">
      <c r="A3" s="4" t="s">
        <v>27</v>
      </c>
      <c r="B3" s="4" t="s">
        <v>15</v>
      </c>
      <c r="C3" s="4" t="s">
        <v>16</v>
      </c>
      <c r="D3" s="4" t="s">
        <v>17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25</v>
      </c>
      <c r="M3" s="4" t="s">
        <v>309</v>
      </c>
      <c r="N3" s="4" t="s">
        <v>26</v>
      </c>
    </row>
    <row r="4" spans="1:14" ht="34.5" x14ac:dyDescent="0.35">
      <c r="A4" s="4" t="s">
        <v>35</v>
      </c>
      <c r="B4" s="4" t="s">
        <v>15</v>
      </c>
      <c r="C4" s="4" t="s">
        <v>36</v>
      </c>
      <c r="D4" s="4" t="s">
        <v>37</v>
      </c>
      <c r="E4" s="4" t="s">
        <v>18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25</v>
      </c>
      <c r="M4" s="4" t="s">
        <v>309</v>
      </c>
      <c r="N4" s="4" t="s">
        <v>44</v>
      </c>
    </row>
    <row r="5" spans="1:14" ht="23" x14ac:dyDescent="0.35">
      <c r="A5" s="4" t="s">
        <v>45</v>
      </c>
      <c r="B5" s="4" t="s">
        <v>15</v>
      </c>
      <c r="C5" s="4" t="s">
        <v>36</v>
      </c>
      <c r="D5" s="4" t="s">
        <v>37</v>
      </c>
      <c r="E5" s="4" t="s">
        <v>28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4" t="s">
        <v>25</v>
      </c>
      <c r="M5" s="4" t="s">
        <v>309</v>
      </c>
      <c r="N5" s="4" t="s">
        <v>44</v>
      </c>
    </row>
    <row r="6" spans="1:14" ht="23" x14ac:dyDescent="0.35">
      <c r="A6" s="4" t="s">
        <v>52</v>
      </c>
      <c r="B6" s="4" t="s">
        <v>15</v>
      </c>
      <c r="C6" s="4" t="s">
        <v>53</v>
      </c>
      <c r="D6" s="4" t="s">
        <v>54</v>
      </c>
      <c r="E6" s="4" t="s">
        <v>18</v>
      </c>
      <c r="F6" s="4" t="s">
        <v>55</v>
      </c>
      <c r="G6" s="4" t="s">
        <v>56</v>
      </c>
      <c r="H6" s="4" t="s">
        <v>57</v>
      </c>
      <c r="I6" s="4" t="s">
        <v>58</v>
      </c>
      <c r="J6" s="4" t="s">
        <v>59</v>
      </c>
      <c r="K6" s="4" t="s">
        <v>59</v>
      </c>
      <c r="L6" s="4" t="s">
        <v>25</v>
      </c>
      <c r="M6" s="4" t="s">
        <v>309</v>
      </c>
      <c r="N6" s="4" t="s">
        <v>60</v>
      </c>
    </row>
    <row r="7" spans="1:14" ht="34.5" x14ac:dyDescent="0.35">
      <c r="A7" s="4" t="s">
        <v>61</v>
      </c>
      <c r="B7" s="4" t="s">
        <v>15</v>
      </c>
      <c r="C7" s="4" t="s">
        <v>53</v>
      </c>
      <c r="D7" s="4" t="s">
        <v>54</v>
      </c>
      <c r="E7" s="4" t="s">
        <v>28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67</v>
      </c>
      <c r="L7" s="4" t="s">
        <v>68</v>
      </c>
      <c r="M7" s="4" t="s">
        <v>309</v>
      </c>
      <c r="N7" s="4" t="s">
        <v>60</v>
      </c>
    </row>
    <row r="8" spans="1:14" ht="34.5" x14ac:dyDescent="0.35">
      <c r="A8" s="4" t="s">
        <v>69</v>
      </c>
      <c r="B8" s="4" t="s">
        <v>15</v>
      </c>
      <c r="C8" s="4" t="s">
        <v>70</v>
      </c>
      <c r="D8" s="4" t="s">
        <v>71</v>
      </c>
      <c r="E8" s="4" t="s">
        <v>18</v>
      </c>
      <c r="F8" s="4" t="s">
        <v>72</v>
      </c>
      <c r="G8" s="4" t="s">
        <v>73</v>
      </c>
      <c r="H8" s="4" t="s">
        <v>74</v>
      </c>
      <c r="I8" s="4" t="s">
        <v>75</v>
      </c>
      <c r="J8" s="4" t="s">
        <v>76</v>
      </c>
      <c r="K8" s="4" t="s">
        <v>77</v>
      </c>
      <c r="L8" s="4" t="s">
        <v>25</v>
      </c>
      <c r="M8" s="4" t="s">
        <v>309</v>
      </c>
      <c r="N8" s="4" t="s">
        <v>78</v>
      </c>
    </row>
    <row r="9" spans="1:14" ht="34.5" x14ac:dyDescent="0.35">
      <c r="A9" s="4" t="s">
        <v>79</v>
      </c>
      <c r="B9" s="4" t="s">
        <v>15</v>
      </c>
      <c r="C9" s="4" t="s">
        <v>70</v>
      </c>
      <c r="D9" s="4" t="s">
        <v>71</v>
      </c>
      <c r="E9" s="4" t="s">
        <v>28</v>
      </c>
      <c r="F9" s="4" t="s">
        <v>80</v>
      </c>
      <c r="G9" s="4" t="s">
        <v>73</v>
      </c>
      <c r="H9" s="4" t="s">
        <v>81</v>
      </c>
      <c r="I9" s="4" t="s">
        <v>82</v>
      </c>
      <c r="J9" s="4" t="s">
        <v>83</v>
      </c>
      <c r="K9" s="4" t="s">
        <v>84</v>
      </c>
      <c r="L9" s="4" t="s">
        <v>25</v>
      </c>
      <c r="M9" s="4" t="s">
        <v>309</v>
      </c>
      <c r="N9" s="4" t="s">
        <v>78</v>
      </c>
    </row>
    <row r="10" spans="1:14" ht="34.5" x14ac:dyDescent="0.35">
      <c r="A10" s="4" t="s">
        <v>85</v>
      </c>
      <c r="B10" s="4" t="s">
        <v>86</v>
      </c>
      <c r="C10" s="4" t="s">
        <v>87</v>
      </c>
      <c r="D10" s="4" t="s">
        <v>88</v>
      </c>
      <c r="E10" s="4" t="s">
        <v>18</v>
      </c>
      <c r="F10" s="4" t="s">
        <v>89</v>
      </c>
      <c r="G10" s="4" t="s">
        <v>90</v>
      </c>
      <c r="H10" s="4" t="s">
        <v>91</v>
      </c>
      <c r="I10" s="4" t="s">
        <v>92</v>
      </c>
      <c r="J10" s="4" t="s">
        <v>93</v>
      </c>
      <c r="K10" s="4" t="s">
        <v>94</v>
      </c>
      <c r="L10" s="4" t="s">
        <v>25</v>
      </c>
      <c r="M10" s="4" t="s">
        <v>309</v>
      </c>
      <c r="N10" s="4" t="s">
        <v>44</v>
      </c>
    </row>
    <row r="11" spans="1:14" ht="34.5" x14ac:dyDescent="0.35">
      <c r="A11" s="4" t="s">
        <v>95</v>
      </c>
      <c r="B11" s="4" t="s">
        <v>86</v>
      </c>
      <c r="C11" s="4" t="s">
        <v>96</v>
      </c>
      <c r="D11" s="4" t="s">
        <v>71</v>
      </c>
      <c r="E11" s="4" t="s">
        <v>18</v>
      </c>
      <c r="F11" s="4" t="s">
        <v>97</v>
      </c>
      <c r="G11" s="4" t="s">
        <v>98</v>
      </c>
      <c r="H11" s="4" t="s">
        <v>99</v>
      </c>
      <c r="I11" s="4" t="s">
        <v>100</v>
      </c>
      <c r="J11" s="4" t="s">
        <v>101</v>
      </c>
      <c r="K11" s="4" t="s">
        <v>102</v>
      </c>
      <c r="L11" s="4" t="s">
        <v>25</v>
      </c>
      <c r="M11" s="4" t="s">
        <v>309</v>
      </c>
      <c r="N11" s="4" t="s">
        <v>103</v>
      </c>
    </row>
    <row r="12" spans="1:14" ht="34.5" x14ac:dyDescent="0.35">
      <c r="A12" s="4" t="s">
        <v>104</v>
      </c>
      <c r="B12" s="4" t="s">
        <v>86</v>
      </c>
      <c r="C12" s="4" t="s">
        <v>105</v>
      </c>
      <c r="D12" s="4" t="s">
        <v>106</v>
      </c>
      <c r="E12" s="4" t="s">
        <v>18</v>
      </c>
      <c r="F12" s="4" t="s">
        <v>107</v>
      </c>
      <c r="G12" s="4" t="s">
        <v>108</v>
      </c>
      <c r="H12" s="4" t="s">
        <v>109</v>
      </c>
      <c r="I12" s="4" t="s">
        <v>110</v>
      </c>
      <c r="J12" s="4" t="s">
        <v>111</v>
      </c>
      <c r="K12" s="4" t="s">
        <v>112</v>
      </c>
      <c r="L12" s="4" t="s">
        <v>25</v>
      </c>
      <c r="M12" s="4" t="s">
        <v>309</v>
      </c>
      <c r="N12" s="4" t="s">
        <v>113</v>
      </c>
    </row>
    <row r="13" spans="1:14" ht="34.5" x14ac:dyDescent="0.35">
      <c r="A13" s="4" t="s">
        <v>114</v>
      </c>
      <c r="B13" s="4" t="s">
        <v>86</v>
      </c>
      <c r="C13" s="4" t="s">
        <v>115</v>
      </c>
      <c r="D13" s="4" t="s">
        <v>116</v>
      </c>
      <c r="E13" s="4" t="s">
        <v>18</v>
      </c>
      <c r="F13" s="4" t="s">
        <v>117</v>
      </c>
      <c r="G13" s="4" t="s">
        <v>118</v>
      </c>
      <c r="H13" s="4" t="s">
        <v>119</v>
      </c>
      <c r="I13" s="4" t="s">
        <v>120</v>
      </c>
      <c r="J13" s="4" t="s">
        <v>121</v>
      </c>
      <c r="K13" s="4" t="s">
        <v>122</v>
      </c>
      <c r="L13" s="4" t="s">
        <v>25</v>
      </c>
      <c r="M13" s="4" t="s">
        <v>309</v>
      </c>
      <c r="N13" s="4" t="s">
        <v>123</v>
      </c>
    </row>
    <row r="14" spans="1:14" ht="34.5" x14ac:dyDescent="0.35">
      <c r="A14" s="4" t="s">
        <v>124</v>
      </c>
      <c r="B14" s="4" t="s">
        <v>86</v>
      </c>
      <c r="C14" s="4" t="s">
        <v>125</v>
      </c>
      <c r="D14" s="4" t="s">
        <v>126</v>
      </c>
      <c r="E14" s="4" t="s">
        <v>18</v>
      </c>
      <c r="F14" s="4" t="s">
        <v>127</v>
      </c>
      <c r="G14" s="4" t="s">
        <v>128</v>
      </c>
      <c r="H14" s="4" t="s">
        <v>129</v>
      </c>
      <c r="I14" s="4" t="s">
        <v>130</v>
      </c>
      <c r="J14" s="4" t="s">
        <v>131</v>
      </c>
      <c r="K14" s="4" t="s">
        <v>132</v>
      </c>
      <c r="L14" s="4" t="s">
        <v>25</v>
      </c>
      <c r="M14" s="4" t="s">
        <v>309</v>
      </c>
      <c r="N14" s="4" t="s">
        <v>133</v>
      </c>
    </row>
    <row r="15" spans="1:14" ht="34.5" x14ac:dyDescent="0.35">
      <c r="A15" s="4" t="s">
        <v>134</v>
      </c>
      <c r="B15" s="4" t="s">
        <v>86</v>
      </c>
      <c r="C15" s="4" t="s">
        <v>87</v>
      </c>
      <c r="D15" s="4" t="s">
        <v>88</v>
      </c>
      <c r="E15" s="4" t="s">
        <v>28</v>
      </c>
      <c r="F15" s="4" t="s">
        <v>135</v>
      </c>
      <c r="G15" s="4" t="s">
        <v>136</v>
      </c>
      <c r="H15" s="4" t="s">
        <v>137</v>
      </c>
      <c r="I15" s="4" t="s">
        <v>138</v>
      </c>
      <c r="J15" s="4" t="s">
        <v>139</v>
      </c>
      <c r="K15" s="4" t="s">
        <v>140</v>
      </c>
      <c r="L15" s="4" t="s">
        <v>68</v>
      </c>
      <c r="M15" s="4" t="s">
        <v>309</v>
      </c>
      <c r="N15" s="4" t="s">
        <v>44</v>
      </c>
    </row>
    <row r="16" spans="1:14" ht="46" x14ac:dyDescent="0.35">
      <c r="A16" s="4" t="s">
        <v>141</v>
      </c>
      <c r="B16" s="4" t="s">
        <v>142</v>
      </c>
      <c r="C16" s="4" t="s">
        <v>143</v>
      </c>
      <c r="D16" s="4" t="s">
        <v>144</v>
      </c>
      <c r="E16" s="4" t="s">
        <v>18</v>
      </c>
      <c r="F16" s="4" t="s">
        <v>145</v>
      </c>
      <c r="G16" s="4" t="s">
        <v>146</v>
      </c>
      <c r="H16" s="4" t="s">
        <v>147</v>
      </c>
      <c r="I16" s="4" t="s">
        <v>148</v>
      </c>
      <c r="J16" s="4" t="s">
        <v>149</v>
      </c>
      <c r="K16" s="4" t="s">
        <v>150</v>
      </c>
      <c r="L16" s="4" t="s">
        <v>25</v>
      </c>
      <c r="M16" s="4" t="s">
        <v>151</v>
      </c>
      <c r="N16" s="4" t="s">
        <v>152</v>
      </c>
    </row>
    <row r="17" spans="1:14" ht="46" x14ac:dyDescent="0.35">
      <c r="A17" s="4" t="s">
        <v>153</v>
      </c>
      <c r="B17" s="4" t="s">
        <v>142</v>
      </c>
      <c r="C17" s="4" t="s">
        <v>154</v>
      </c>
      <c r="D17" s="4" t="s">
        <v>155</v>
      </c>
      <c r="E17" s="4" t="s">
        <v>18</v>
      </c>
      <c r="F17" s="4" t="s">
        <v>156</v>
      </c>
      <c r="G17" s="4" t="s">
        <v>157</v>
      </c>
      <c r="H17" s="4" t="s">
        <v>158</v>
      </c>
      <c r="I17" s="4" t="s">
        <v>159</v>
      </c>
      <c r="J17" s="4" t="s">
        <v>160</v>
      </c>
      <c r="K17" s="4" t="s">
        <v>161</v>
      </c>
      <c r="L17" s="4" t="s">
        <v>25</v>
      </c>
      <c r="M17" s="4" t="s">
        <v>151</v>
      </c>
      <c r="N17" s="4" t="s">
        <v>152</v>
      </c>
    </row>
    <row r="18" spans="1:14" ht="34.5" x14ac:dyDescent="0.35">
      <c r="A18" s="4" t="s">
        <v>162</v>
      </c>
      <c r="B18" s="4" t="s">
        <v>142</v>
      </c>
      <c r="C18" s="4" t="s">
        <v>163</v>
      </c>
      <c r="D18" s="4" t="s">
        <v>37</v>
      </c>
      <c r="E18" s="4" t="s">
        <v>18</v>
      </c>
      <c r="F18" s="4" t="s">
        <v>164</v>
      </c>
      <c r="G18" s="4" t="s">
        <v>165</v>
      </c>
      <c r="H18" s="4" t="s">
        <v>166</v>
      </c>
      <c r="I18" s="4" t="s">
        <v>167</v>
      </c>
      <c r="J18" s="4" t="s">
        <v>168</v>
      </c>
      <c r="K18" s="4" t="s">
        <v>169</v>
      </c>
      <c r="L18" s="4" t="s">
        <v>25</v>
      </c>
      <c r="M18" s="4" t="s">
        <v>151</v>
      </c>
      <c r="N18" s="4" t="s">
        <v>152</v>
      </c>
    </row>
    <row r="19" spans="1:14" ht="34.5" x14ac:dyDescent="0.35">
      <c r="A19" s="4" t="s">
        <v>170</v>
      </c>
      <c r="B19" s="4" t="s">
        <v>142</v>
      </c>
      <c r="C19" s="4" t="s">
        <v>171</v>
      </c>
      <c r="D19" s="4" t="s">
        <v>17</v>
      </c>
      <c r="E19" s="4" t="s">
        <v>28</v>
      </c>
      <c r="F19" s="4" t="s">
        <v>172</v>
      </c>
      <c r="G19" s="4" t="s">
        <v>173</v>
      </c>
      <c r="H19" s="4" t="s">
        <v>174</v>
      </c>
      <c r="I19" s="4" t="s">
        <v>175</v>
      </c>
      <c r="J19" s="4" t="s">
        <v>176</v>
      </c>
      <c r="K19" s="4" t="s">
        <v>177</v>
      </c>
      <c r="L19" s="4" t="s">
        <v>25</v>
      </c>
      <c r="M19" s="4" t="s">
        <v>151</v>
      </c>
      <c r="N19" s="4" t="s">
        <v>178</v>
      </c>
    </row>
    <row r="20" spans="1:14" ht="34.5" x14ac:dyDescent="0.35">
      <c r="A20" s="4" t="s">
        <v>179</v>
      </c>
      <c r="B20" s="4" t="s">
        <v>142</v>
      </c>
      <c r="C20" s="4" t="s">
        <v>180</v>
      </c>
      <c r="D20" s="4" t="s">
        <v>126</v>
      </c>
      <c r="E20" s="4" t="s">
        <v>18</v>
      </c>
      <c r="F20" s="4" t="s">
        <v>181</v>
      </c>
      <c r="G20" s="4" t="s">
        <v>182</v>
      </c>
      <c r="H20" s="4" t="s">
        <v>183</v>
      </c>
      <c r="I20" s="4" t="s">
        <v>184</v>
      </c>
      <c r="J20" s="4" t="s">
        <v>185</v>
      </c>
      <c r="K20" s="4" t="s">
        <v>186</v>
      </c>
      <c r="L20" s="4" t="s">
        <v>25</v>
      </c>
      <c r="M20" s="4" t="s">
        <v>151</v>
      </c>
      <c r="N20" s="4" t="s">
        <v>187</v>
      </c>
    </row>
    <row r="21" spans="1:14" ht="46" x14ac:dyDescent="0.35">
      <c r="A21" s="4" t="s">
        <v>188</v>
      </c>
      <c r="B21" s="4" t="s">
        <v>142</v>
      </c>
      <c r="C21" s="4" t="s">
        <v>70</v>
      </c>
      <c r="D21" s="4" t="s">
        <v>71</v>
      </c>
      <c r="E21" s="4" t="s">
        <v>18</v>
      </c>
      <c r="F21" s="4" t="s">
        <v>189</v>
      </c>
      <c r="G21" s="4" t="s">
        <v>190</v>
      </c>
      <c r="H21" s="4" t="s">
        <v>191</v>
      </c>
      <c r="I21" s="4" t="s">
        <v>192</v>
      </c>
      <c r="J21" s="4" t="s">
        <v>193</v>
      </c>
      <c r="K21" s="4" t="s">
        <v>194</v>
      </c>
      <c r="L21" s="4" t="s">
        <v>25</v>
      </c>
      <c r="M21" s="4" t="s">
        <v>151</v>
      </c>
      <c r="N21" s="4" t="s">
        <v>195</v>
      </c>
    </row>
    <row r="22" spans="1:14" ht="46" x14ac:dyDescent="0.35">
      <c r="A22" s="4" t="s">
        <v>196</v>
      </c>
      <c r="B22" s="4" t="s">
        <v>142</v>
      </c>
      <c r="C22" s="4" t="s">
        <v>197</v>
      </c>
      <c r="D22" s="4" t="s">
        <v>198</v>
      </c>
      <c r="E22" s="4" t="s">
        <v>28</v>
      </c>
      <c r="F22" s="4" t="s">
        <v>199</v>
      </c>
      <c r="G22" s="4" t="s">
        <v>200</v>
      </c>
      <c r="H22" s="4" t="s">
        <v>201</v>
      </c>
      <c r="I22" s="4" t="s">
        <v>202</v>
      </c>
      <c r="J22" s="4" t="s">
        <v>203</v>
      </c>
      <c r="K22" s="4" t="s">
        <v>204</v>
      </c>
      <c r="L22" s="4" t="s">
        <v>205</v>
      </c>
      <c r="M22" s="4" t="s">
        <v>151</v>
      </c>
      <c r="N22" s="4" t="s">
        <v>206</v>
      </c>
    </row>
    <row r="23" spans="1:14" ht="34.5" x14ac:dyDescent="0.35">
      <c r="A23" s="4" t="s">
        <v>207</v>
      </c>
      <c r="B23" s="4" t="s">
        <v>208</v>
      </c>
      <c r="C23" s="4" t="s">
        <v>209</v>
      </c>
      <c r="D23" s="4" t="s">
        <v>210</v>
      </c>
      <c r="E23" s="4" t="s">
        <v>18</v>
      </c>
      <c r="F23" s="4" t="s">
        <v>211</v>
      </c>
      <c r="G23" s="4" t="s">
        <v>212</v>
      </c>
      <c r="H23" s="4" t="s">
        <v>213</v>
      </c>
      <c r="I23" s="4" t="s">
        <v>214</v>
      </c>
      <c r="J23" s="4" t="s">
        <v>215</v>
      </c>
      <c r="K23" s="4" t="s">
        <v>216</v>
      </c>
      <c r="L23" s="4" t="s">
        <v>25</v>
      </c>
      <c r="M23" s="4" t="s">
        <v>310</v>
      </c>
      <c r="N23" s="4" t="s">
        <v>195</v>
      </c>
    </row>
    <row r="24" spans="1:14" ht="34.5" x14ac:dyDescent="0.35">
      <c r="A24" s="4" t="s">
        <v>217</v>
      </c>
      <c r="B24" s="4" t="s">
        <v>208</v>
      </c>
      <c r="C24" s="4" t="s">
        <v>218</v>
      </c>
      <c r="D24" s="4" t="s">
        <v>219</v>
      </c>
      <c r="E24" s="4" t="s">
        <v>18</v>
      </c>
      <c r="F24" s="4" t="s">
        <v>220</v>
      </c>
      <c r="G24" s="4" t="s">
        <v>221</v>
      </c>
      <c r="H24" s="4" t="s">
        <v>222</v>
      </c>
      <c r="I24" s="4" t="s">
        <v>223</v>
      </c>
      <c r="J24" s="4" t="s">
        <v>224</v>
      </c>
      <c r="K24" s="4" t="s">
        <v>225</v>
      </c>
      <c r="L24" s="4" t="s">
        <v>25</v>
      </c>
      <c r="M24" s="4" t="s">
        <v>310</v>
      </c>
      <c r="N24" s="4" t="s">
        <v>60</v>
      </c>
    </row>
    <row r="25" spans="1:14" ht="34.5" x14ac:dyDescent="0.35">
      <c r="A25" s="4" t="s">
        <v>226</v>
      </c>
      <c r="B25" s="4" t="s">
        <v>208</v>
      </c>
      <c r="C25" s="4" t="s">
        <v>154</v>
      </c>
      <c r="D25" s="4" t="s">
        <v>155</v>
      </c>
      <c r="E25" s="4" t="s">
        <v>18</v>
      </c>
      <c r="F25" s="4" t="s">
        <v>227</v>
      </c>
      <c r="G25" s="4" t="s">
        <v>228</v>
      </c>
      <c r="H25" s="4" t="s">
        <v>229</v>
      </c>
      <c r="I25" s="4" t="s">
        <v>230</v>
      </c>
      <c r="J25" s="4" t="s">
        <v>231</v>
      </c>
      <c r="K25" s="4" t="s">
        <v>232</v>
      </c>
      <c r="L25" s="4" t="s">
        <v>25</v>
      </c>
      <c r="M25" s="4" t="s">
        <v>311</v>
      </c>
      <c r="N25" s="4" t="s">
        <v>195</v>
      </c>
    </row>
    <row r="26" spans="1:14" ht="34.5" x14ac:dyDescent="0.35">
      <c r="A26" s="4" t="s">
        <v>233</v>
      </c>
      <c r="B26" s="4" t="s">
        <v>208</v>
      </c>
      <c r="C26" s="4" t="s">
        <v>234</v>
      </c>
      <c r="D26" s="4" t="s">
        <v>71</v>
      </c>
      <c r="E26" s="4" t="s">
        <v>18</v>
      </c>
      <c r="F26" s="4" t="s">
        <v>235</v>
      </c>
      <c r="G26" s="4" t="s">
        <v>236</v>
      </c>
      <c r="H26" s="4" t="s">
        <v>237</v>
      </c>
      <c r="I26" s="4" t="s">
        <v>238</v>
      </c>
      <c r="J26" s="4" t="s">
        <v>239</v>
      </c>
      <c r="K26" s="4" t="s">
        <v>240</v>
      </c>
      <c r="L26" s="4" t="s">
        <v>25</v>
      </c>
      <c r="M26" s="4" t="s">
        <v>311</v>
      </c>
      <c r="N26" s="4" t="s">
        <v>241</v>
      </c>
    </row>
    <row r="27" spans="1:14" ht="46" x14ac:dyDescent="0.35">
      <c r="A27" s="4" t="s">
        <v>242</v>
      </c>
      <c r="B27" s="4" t="s">
        <v>208</v>
      </c>
      <c r="C27" s="4" t="s">
        <v>243</v>
      </c>
      <c r="D27" s="4" t="s">
        <v>244</v>
      </c>
      <c r="E27" s="4" t="s">
        <v>18</v>
      </c>
      <c r="F27" s="4" t="s">
        <v>245</v>
      </c>
      <c r="G27" s="4" t="s">
        <v>246</v>
      </c>
      <c r="H27" s="4" t="s">
        <v>247</v>
      </c>
      <c r="I27" s="4" t="s">
        <v>248</v>
      </c>
      <c r="J27" s="4" t="s">
        <v>249</v>
      </c>
      <c r="K27" s="4" t="s">
        <v>250</v>
      </c>
      <c r="L27" s="4" t="s">
        <v>205</v>
      </c>
      <c r="M27" s="4" t="s">
        <v>251</v>
      </c>
      <c r="N27" s="4" t="s">
        <v>252</v>
      </c>
    </row>
    <row r="28" spans="1:14" ht="34.5" x14ac:dyDescent="0.35">
      <c r="A28" s="4" t="s">
        <v>253</v>
      </c>
      <c r="B28" s="4" t="s">
        <v>208</v>
      </c>
      <c r="C28" s="4" t="s">
        <v>180</v>
      </c>
      <c r="D28" s="4" t="s">
        <v>126</v>
      </c>
      <c r="E28" s="4" t="s">
        <v>18</v>
      </c>
      <c r="F28" s="4" t="s">
        <v>254</v>
      </c>
      <c r="G28" s="4" t="s">
        <v>255</v>
      </c>
      <c r="H28" s="4" t="s">
        <v>256</v>
      </c>
      <c r="I28" s="4" t="s">
        <v>257</v>
      </c>
      <c r="J28" s="4" t="s">
        <v>258</v>
      </c>
      <c r="K28" s="4" t="s">
        <v>259</v>
      </c>
      <c r="L28" s="4" t="s">
        <v>25</v>
      </c>
      <c r="M28" s="4" t="s">
        <v>260</v>
      </c>
      <c r="N28" s="4" t="s">
        <v>261</v>
      </c>
    </row>
    <row r="29" spans="1:14" ht="34.5" x14ac:dyDescent="0.35">
      <c r="A29" s="4" t="s">
        <v>262</v>
      </c>
      <c r="B29" s="4" t="s">
        <v>208</v>
      </c>
      <c r="C29" s="4" t="s">
        <v>16</v>
      </c>
      <c r="D29" s="4" t="s">
        <v>17</v>
      </c>
      <c r="E29" s="4" t="s">
        <v>28</v>
      </c>
      <c r="F29" s="4" t="s">
        <v>263</v>
      </c>
      <c r="G29" s="4" t="s">
        <v>264</v>
      </c>
      <c r="H29" s="4" t="s">
        <v>265</v>
      </c>
      <c r="I29" s="4" t="s">
        <v>266</v>
      </c>
      <c r="J29" s="4" t="s">
        <v>267</v>
      </c>
      <c r="K29" s="4" t="s">
        <v>268</v>
      </c>
      <c r="L29" s="4" t="s">
        <v>25</v>
      </c>
      <c r="M29" s="4" t="s">
        <v>310</v>
      </c>
      <c r="N29" s="4" t="s">
        <v>241</v>
      </c>
    </row>
  </sheetData>
  <conditionalFormatting sqref="L2:L29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"Fail (Minor)"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/>
  </sheetViews>
  <sheetFormatPr defaultColWidth="8.6328125" defaultRowHeight="14.5" x14ac:dyDescent="0.35"/>
  <cols>
    <col min="1" max="1" width="16" customWidth="1"/>
    <col min="2" max="4" width="10" customWidth="1"/>
    <col min="5" max="5" width="12" customWidth="1"/>
  </cols>
  <sheetData>
    <row r="1" spans="1:5" ht="15.5" x14ac:dyDescent="0.35">
      <c r="A1" s="2" t="s">
        <v>269</v>
      </c>
      <c r="B1" s="2"/>
      <c r="C1" s="2"/>
      <c r="D1" s="2"/>
      <c r="E1" s="2"/>
    </row>
    <row r="3" spans="1:5" x14ac:dyDescent="0.35">
      <c r="A3" s="5" t="s">
        <v>270</v>
      </c>
    </row>
    <row r="4" spans="1:5" x14ac:dyDescent="0.35">
      <c r="A4" s="6" t="s">
        <v>1</v>
      </c>
      <c r="B4" s="6" t="s">
        <v>271</v>
      </c>
      <c r="C4" s="6" t="s">
        <v>25</v>
      </c>
      <c r="D4" s="6" t="s">
        <v>68</v>
      </c>
      <c r="E4" s="6" t="s">
        <v>272</v>
      </c>
    </row>
    <row r="5" spans="1:5" x14ac:dyDescent="0.35">
      <c r="A5" s="7" t="s">
        <v>15</v>
      </c>
      <c r="B5" s="7">
        <f>COUNTIF('Test Cases'!B2:B29,A5)</f>
        <v>8</v>
      </c>
      <c r="C5" s="7">
        <f>COUNTIFS('Test Cases'!B2:B29,A5,'Test Cases'!L2:L29,"Pass")</f>
        <v>7</v>
      </c>
      <c r="D5" s="7">
        <f>COUNTIFS('Test Cases'!B2:B29,A5,'Test Cases'!L2:L29,"&lt;&gt;Pass")</f>
        <v>1</v>
      </c>
      <c r="E5" s="8">
        <f>IF(B5=0,0,C5/B5)</f>
        <v>0.875</v>
      </c>
    </row>
    <row r="6" spans="1:5" x14ac:dyDescent="0.35">
      <c r="A6" s="7" t="s">
        <v>86</v>
      </c>
      <c r="B6" s="7">
        <f>COUNTIF('Test Cases'!B2:B29,A6)</f>
        <v>6</v>
      </c>
      <c r="C6" s="7">
        <f>COUNTIFS('Test Cases'!B2:B29,A6,'Test Cases'!L2:L29,"Pass")</f>
        <v>5</v>
      </c>
      <c r="D6" s="7">
        <f>COUNTIFS('Test Cases'!B2:B29,A6,'Test Cases'!L2:L29,"&lt;&gt;Pass")</f>
        <v>1</v>
      </c>
      <c r="E6" s="8">
        <f>IF(B6=0,0,C6/B6)</f>
        <v>0.83333333333333337</v>
      </c>
    </row>
    <row r="7" spans="1:5" x14ac:dyDescent="0.35">
      <c r="A7" s="7" t="s">
        <v>142</v>
      </c>
      <c r="B7" s="7">
        <f>COUNTIF('Test Cases'!B2:B29,A7)</f>
        <v>7</v>
      </c>
      <c r="C7" s="7">
        <f>COUNTIFS('Test Cases'!B2:B29,A7,'Test Cases'!L2:L29,"Pass")</f>
        <v>6</v>
      </c>
      <c r="D7" s="7">
        <f>COUNTIFS('Test Cases'!B2:B29,A7,'Test Cases'!L2:L29,"&lt;&gt;Pass")</f>
        <v>1</v>
      </c>
      <c r="E7" s="8">
        <f>IF(B7=0,0,C7/B7)</f>
        <v>0.8571428571428571</v>
      </c>
    </row>
    <row r="8" spans="1:5" x14ac:dyDescent="0.35">
      <c r="A8" s="7" t="s">
        <v>208</v>
      </c>
      <c r="B8" s="7">
        <f>COUNTIF('Test Cases'!B2:B29,A8)</f>
        <v>7</v>
      </c>
      <c r="C8" s="7">
        <f>COUNTIFS('Test Cases'!B2:B29,A8,'Test Cases'!L2:L29,"Pass")</f>
        <v>6</v>
      </c>
      <c r="D8" s="7">
        <f>COUNTIFS('Test Cases'!B2:B29,A8,'Test Cases'!L2:L29,"&lt;&gt;Pass")</f>
        <v>1</v>
      </c>
      <c r="E8" s="8">
        <f>IF(B8=0,0,C8/B8)</f>
        <v>0.8571428571428571</v>
      </c>
    </row>
    <row r="9" spans="1:5" x14ac:dyDescent="0.35">
      <c r="A9" s="7" t="s">
        <v>271</v>
      </c>
      <c r="B9" s="7">
        <f>SUM(B5:B8)</f>
        <v>28</v>
      </c>
      <c r="C9" s="7">
        <f>SUM(C5:C8)</f>
        <v>24</v>
      </c>
      <c r="D9" s="7">
        <f>SUM(D5:D8)</f>
        <v>4</v>
      </c>
      <c r="E9" s="8">
        <f>IF(B9=0,0,C9/B9)</f>
        <v>0.8571428571428571</v>
      </c>
    </row>
    <row r="11" spans="1:5" x14ac:dyDescent="0.35">
      <c r="A11" s="5" t="s">
        <v>273</v>
      </c>
    </row>
    <row r="12" spans="1:5" x14ac:dyDescent="0.35">
      <c r="A12" s="6" t="s">
        <v>4</v>
      </c>
      <c r="B12" s="6" t="s">
        <v>271</v>
      </c>
      <c r="C12" s="6" t="s">
        <v>25</v>
      </c>
      <c r="D12" s="6" t="s">
        <v>68</v>
      </c>
      <c r="E12" s="6" t="s">
        <v>272</v>
      </c>
    </row>
    <row r="13" spans="1:5" x14ac:dyDescent="0.35">
      <c r="A13" s="7" t="s">
        <v>18</v>
      </c>
      <c r="B13" s="7">
        <f>COUNTIF('Test Cases'!E2:E29,A13)</f>
        <v>20</v>
      </c>
      <c r="C13" s="7">
        <f>COUNTIFS('Test Cases'!E2:E29,A13,'Test Cases'!L2:L29,"Pass")</f>
        <v>19</v>
      </c>
      <c r="D13" s="7">
        <f>COUNTIFS('Test Cases'!E2:E29,A13,'Test Cases'!L2:L29,"&lt;&gt;Pass")</f>
        <v>1</v>
      </c>
      <c r="E13" s="8">
        <f>IF(B13=0,0,C13/B13)</f>
        <v>0.95</v>
      </c>
    </row>
    <row r="14" spans="1:5" x14ac:dyDescent="0.35">
      <c r="A14" s="7" t="s">
        <v>28</v>
      </c>
      <c r="B14" s="7">
        <f>COUNTIF('Test Cases'!E2:E29,A14)</f>
        <v>8</v>
      </c>
      <c r="C14" s="7">
        <f>COUNTIFS('Test Cases'!E2:E29,A14,'Test Cases'!L2:L29,"Pass")</f>
        <v>5</v>
      </c>
      <c r="D14" s="7">
        <f>COUNTIFS('Test Cases'!E2:E29,A14,'Test Cases'!L2:L29,"&lt;&gt;Pass")</f>
        <v>3</v>
      </c>
      <c r="E14" s="8">
        <f>IF(B14=0,0,C14/B14)</f>
        <v>0.625</v>
      </c>
    </row>
    <row r="15" spans="1:5" x14ac:dyDescent="0.35">
      <c r="A15" s="7" t="s">
        <v>271</v>
      </c>
      <c r="B15" s="7">
        <f>SUM(B13:B14)</f>
        <v>28</v>
      </c>
      <c r="C15" s="7">
        <f>SUM(C13:C14)</f>
        <v>24</v>
      </c>
      <c r="D15" s="7">
        <f>SUM(D13:D14)</f>
        <v>4</v>
      </c>
      <c r="E15" s="8">
        <f>IF(B15=0,0,C15/B15)</f>
        <v>0.8571428571428571</v>
      </c>
    </row>
    <row r="17" spans="1:5" ht="32.75" customHeight="1" x14ac:dyDescent="0.35">
      <c r="A17" s="1" t="s">
        <v>274</v>
      </c>
      <c r="B17" s="1"/>
      <c r="C17" s="1"/>
      <c r="D17" s="1"/>
      <c r="E17" s="1"/>
    </row>
    <row r="19" spans="1:5" ht="74.650000000000006" customHeight="1" x14ac:dyDescent="0.35">
      <c r="A19" s="1" t="s">
        <v>275</v>
      </c>
      <c r="B19" s="1"/>
      <c r="C19" s="1"/>
      <c r="D19" s="1"/>
      <c r="E19" s="1"/>
    </row>
    <row r="21" spans="1:5" ht="43.25" customHeight="1" x14ac:dyDescent="0.35">
      <c r="A21" s="1" t="s">
        <v>276</v>
      </c>
      <c r="B21" s="1"/>
      <c r="C21" s="1"/>
      <c r="D21" s="1"/>
      <c r="E21" s="1"/>
    </row>
  </sheetData>
  <mergeCells count="4">
    <mergeCell ref="A1:E1"/>
    <mergeCell ref="A17:E17"/>
    <mergeCell ref="A19:E19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zoomScaleNormal="100" workbookViewId="0"/>
  </sheetViews>
  <sheetFormatPr defaultColWidth="8.6328125" defaultRowHeight="14.5" x14ac:dyDescent="0.35"/>
  <cols>
    <col min="1" max="1" width="38" customWidth="1"/>
    <col min="2" max="3" width="14" customWidth="1"/>
  </cols>
  <sheetData>
    <row r="1" spans="1:3" ht="15.5" x14ac:dyDescent="0.35">
      <c r="A1" s="9" t="s">
        <v>277</v>
      </c>
    </row>
    <row r="2" spans="1:3" x14ac:dyDescent="0.35">
      <c r="A2" s="6" t="s">
        <v>278</v>
      </c>
      <c r="B2" s="6" t="s">
        <v>279</v>
      </c>
      <c r="C2" s="6" t="s">
        <v>280</v>
      </c>
    </row>
    <row r="3" spans="1:3" x14ac:dyDescent="0.35">
      <c r="A3" s="7" t="s">
        <v>281</v>
      </c>
      <c r="B3" s="7" t="s">
        <v>282</v>
      </c>
      <c r="C3" s="7" t="s">
        <v>283</v>
      </c>
    </row>
    <row r="4" spans="1:3" x14ac:dyDescent="0.35">
      <c r="A4" s="7" t="s">
        <v>284</v>
      </c>
      <c r="B4" s="7" t="s">
        <v>285</v>
      </c>
      <c r="C4" s="7" t="s">
        <v>286</v>
      </c>
    </row>
    <row r="5" spans="1:3" x14ac:dyDescent="0.35">
      <c r="A5" s="7" t="s">
        <v>287</v>
      </c>
      <c r="B5" s="7" t="s">
        <v>288</v>
      </c>
      <c r="C5" s="7" t="s">
        <v>289</v>
      </c>
    </row>
    <row r="6" spans="1:3" x14ac:dyDescent="0.35">
      <c r="A6" s="7" t="s">
        <v>290</v>
      </c>
      <c r="B6" s="7" t="s">
        <v>291</v>
      </c>
      <c r="C6" s="7" t="s">
        <v>292</v>
      </c>
    </row>
    <row r="7" spans="1:3" x14ac:dyDescent="0.35">
      <c r="A7" s="7" t="s">
        <v>293</v>
      </c>
      <c r="B7" s="7" t="s">
        <v>282</v>
      </c>
      <c r="C7" s="7" t="s">
        <v>294</v>
      </c>
    </row>
    <row r="9" spans="1:3" ht="15.5" x14ac:dyDescent="0.35">
      <c r="A9" s="9" t="s">
        <v>295</v>
      </c>
    </row>
    <row r="10" spans="1:3" x14ac:dyDescent="0.35">
      <c r="A10" s="6" t="s">
        <v>278</v>
      </c>
      <c r="B10" s="6" t="s">
        <v>279</v>
      </c>
      <c r="C10" s="6" t="s">
        <v>280</v>
      </c>
    </row>
    <row r="11" spans="1:3" x14ac:dyDescent="0.35">
      <c r="A11" s="7" t="s">
        <v>296</v>
      </c>
      <c r="B11" s="7" t="s">
        <v>297</v>
      </c>
      <c r="C11" s="7" t="s">
        <v>298</v>
      </c>
    </row>
    <row r="12" spans="1:3" x14ac:dyDescent="0.35">
      <c r="A12" s="7" t="s">
        <v>299</v>
      </c>
      <c r="B12" s="7" t="s">
        <v>300</v>
      </c>
      <c r="C12" s="7" t="s">
        <v>301</v>
      </c>
    </row>
    <row r="13" spans="1:3" x14ac:dyDescent="0.35">
      <c r="A13" s="7" t="s">
        <v>302</v>
      </c>
      <c r="B13" s="7" t="s">
        <v>297</v>
      </c>
      <c r="C13" s="7" t="s">
        <v>303</v>
      </c>
    </row>
    <row r="14" spans="1:3" x14ac:dyDescent="0.35">
      <c r="A14" s="7" t="s">
        <v>304</v>
      </c>
      <c r="B14" s="7" t="s">
        <v>305</v>
      </c>
      <c r="C14" s="7" t="s">
        <v>306</v>
      </c>
    </row>
    <row r="15" spans="1:3" x14ac:dyDescent="0.35">
      <c r="A15" s="7" t="s">
        <v>307</v>
      </c>
      <c r="B15" s="7" t="s">
        <v>298</v>
      </c>
      <c r="C15" s="7" t="s">
        <v>308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Sprint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Niraj Gautam</cp:lastModifiedBy>
  <cp:revision>0</cp:revision>
  <dcterms:created xsi:type="dcterms:W3CDTF">2026-08-18T03:00:32Z</dcterms:created>
  <dcterms:modified xsi:type="dcterms:W3CDTF">2026-08-18T14:11:21Z</dcterms:modified>
  <dc:language>en-US</dc:language>
</cp:coreProperties>
</file>